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rsonal\Ujjwal\Trading\"/>
    </mc:Choice>
  </mc:AlternateContent>
  <xr:revisionPtr revIDLastSave="0" documentId="13_ncr:1_{9923652B-E321-44F7-A0E4-D597FFF678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ISK MANAGEMENT CALCULATOR" sheetId="1" r:id="rId1"/>
    <sheet name="WH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21" i="1"/>
  <c r="F18" i="1"/>
  <c r="D18" i="1"/>
  <c r="H11" i="2"/>
  <c r="C11" i="2"/>
  <c r="H10" i="2"/>
  <c r="C10" i="2"/>
  <c r="H9" i="2"/>
  <c r="C9" i="2"/>
  <c r="H8" i="2"/>
  <c r="C8" i="2"/>
  <c r="H7" i="2"/>
  <c r="C7" i="2"/>
  <c r="H6" i="2"/>
  <c r="C6" i="2"/>
  <c r="H5" i="2"/>
  <c r="C5" i="2"/>
  <c r="H4" i="2"/>
  <c r="C4" i="2"/>
  <c r="H3" i="2"/>
  <c r="C3" i="2"/>
  <c r="H2" i="2"/>
  <c r="I2" i="2" s="1"/>
  <c r="F3" i="2" s="1"/>
  <c r="I3" i="2" s="1"/>
  <c r="F4" i="2" s="1"/>
  <c r="I4" i="2" s="1"/>
  <c r="F5" i="2" s="1"/>
  <c r="I5" i="2" s="1"/>
  <c r="F6" i="2" s="1"/>
  <c r="I6" i="2" s="1"/>
  <c r="F7" i="2" s="1"/>
  <c r="I7" i="2" s="1"/>
  <c r="F8" i="2" s="1"/>
  <c r="I8" i="2" s="1"/>
  <c r="F9" i="2" s="1"/>
  <c r="I9" i="2" s="1"/>
  <c r="F10" i="2" s="1"/>
  <c r="I10" i="2" s="1"/>
  <c r="F11" i="2" s="1"/>
  <c r="I11" i="2" s="1"/>
  <c r="D2" i="2"/>
  <c r="A3" i="2" s="1"/>
  <c r="D3" i="2" s="1"/>
  <c r="A4" i="2" s="1"/>
  <c r="D4" i="2" s="1"/>
  <c r="A5" i="2" s="1"/>
  <c r="D5" i="2" s="1"/>
  <c r="A6" i="2" s="1"/>
  <c r="D6" i="2" s="1"/>
  <c r="A7" i="2" s="1"/>
  <c r="D7" i="2" s="1"/>
  <c r="A8" i="2" s="1"/>
  <c r="D8" i="2" s="1"/>
  <c r="A9" i="2" s="1"/>
  <c r="D9" i="2" s="1"/>
  <c r="A10" i="2" s="1"/>
  <c r="D10" i="2" s="1"/>
  <c r="A11" i="2" s="1"/>
  <c r="D11" i="2" s="1"/>
  <c r="C2" i="2"/>
  <c r="I32" i="1"/>
  <c r="H31" i="1"/>
  <c r="F32" i="1" s="1"/>
  <c r="G32" i="1" s="1"/>
  <c r="H32" i="1" s="1"/>
  <c r="G31" i="1"/>
  <c r="I29" i="1"/>
  <c r="G29" i="1"/>
  <c r="H29" i="1" s="1"/>
  <c r="F29" i="1"/>
  <c r="D29" i="1"/>
  <c r="I27" i="1" s="1"/>
  <c r="K28" i="1" s="1"/>
  <c r="H28" i="1"/>
  <c r="G28" i="1"/>
  <c r="I21" i="1"/>
  <c r="H20" i="1"/>
  <c r="G20" i="1"/>
  <c r="G21" i="1" s="1"/>
  <c r="I18" i="1"/>
  <c r="H17" i="1"/>
  <c r="G17" i="1"/>
  <c r="I12" i="1"/>
  <c r="F12" i="1"/>
  <c r="G12" i="1" s="1"/>
  <c r="H12" i="1" s="1"/>
  <c r="H11" i="1"/>
  <c r="G11" i="1"/>
  <c r="I9" i="1"/>
  <c r="D9" i="1"/>
  <c r="I10" i="1" s="1"/>
  <c r="K11" i="1" s="1"/>
  <c r="H8" i="1"/>
  <c r="G8" i="1"/>
  <c r="F9" i="1" s="1"/>
  <c r="G9" i="1" s="1"/>
  <c r="H18" i="1" l="1"/>
  <c r="I16" i="1"/>
  <c r="K17" i="1" s="1"/>
  <c r="H9" i="1"/>
  <c r="I7" i="1"/>
  <c r="K8" i="1" s="1"/>
  <c r="H21" i="1"/>
  <c r="I19" i="1"/>
  <c r="K20" i="1" s="1"/>
  <c r="I30" i="1"/>
  <c r="K31" i="1" s="1"/>
</calcChain>
</file>

<file path=xl/sharedStrings.xml><?xml version="1.0" encoding="utf-8"?>
<sst xmlns="http://schemas.openxmlformats.org/spreadsheetml/2006/main" count="75" uniqueCount="26">
  <si>
    <t xml:space="preserve"> RISK MANAGEMENT_TIME MACHINE</t>
  </si>
  <si>
    <t>CAPITAL / FUND</t>
  </si>
  <si>
    <t>% OF RISK AT YOUR CAPITAL</t>
  </si>
  <si>
    <t>CAPITAL RISK</t>
  </si>
  <si>
    <t>NO.OF LOT SIZE</t>
  </si>
  <si>
    <t xml:space="preserve">CAPITAL </t>
  </si>
  <si>
    <t>( Capital Using for Trading/investment )</t>
  </si>
  <si>
    <t>( Percentage of Risk Per Trade )</t>
  </si>
  <si>
    <t>( Max amount of Risk Per Trade )</t>
  </si>
  <si>
    <t>HIGH</t>
  </si>
  <si>
    <t>LOW</t>
  </si>
  <si>
    <t>SELL ENTRY</t>
  </si>
  <si>
    <t>STOP LOSS</t>
  </si>
  <si>
    <t>PREMIUM  &gt;</t>
  </si>
  <si>
    <t>STRIKE RISK</t>
  </si>
  <si>
    <t>PE</t>
  </si>
  <si>
    <t>BUY ENTRY</t>
  </si>
  <si>
    <t>CE</t>
  </si>
  <si>
    <r>
      <rPr>
        <b/>
        <sz val="24"/>
        <color rgb="FF000000"/>
        <rFont val="Arial"/>
      </rPr>
      <t xml:space="preserve">INDEX_POSITION SIZING_ </t>
    </r>
    <r>
      <rPr>
        <b/>
        <sz val="24"/>
        <color rgb="FF002060"/>
        <rFont val="Arial"/>
      </rPr>
      <t>BANK NIFTY</t>
    </r>
  </si>
  <si>
    <r>
      <rPr>
        <b/>
        <sz val="24"/>
        <color rgb="FF000000"/>
        <rFont val="Aharoni"/>
      </rPr>
      <t>BANKNIFTY</t>
    </r>
    <r>
      <rPr>
        <b/>
        <sz val="12"/>
        <color rgb="FF000000"/>
        <rFont val="Aharoni"/>
      </rPr>
      <t>_SPOT LEVELS</t>
    </r>
  </si>
  <si>
    <r>
      <rPr>
        <b/>
        <sz val="24"/>
        <color rgb="FF000000"/>
        <rFont val="Arial"/>
      </rPr>
      <t xml:space="preserve">INDEX_POSITION SIZING_ </t>
    </r>
    <r>
      <rPr>
        <b/>
        <sz val="24"/>
        <color rgb="FF000000"/>
        <rFont val="Arial"/>
      </rPr>
      <t>SENSEX</t>
    </r>
  </si>
  <si>
    <r>
      <rPr>
        <b/>
        <sz val="24"/>
        <color rgb="FF000000"/>
        <rFont val="Aharoni"/>
      </rPr>
      <t>SENSEX</t>
    </r>
    <r>
      <rPr>
        <b/>
        <sz val="12"/>
        <color rgb="FF000000"/>
        <rFont val="Aharoni"/>
      </rPr>
      <t>_SPOT LEVELS</t>
    </r>
  </si>
  <si>
    <t>TRADER-A</t>
  </si>
  <si>
    <t>TRADER-B(Descipline)</t>
  </si>
  <si>
    <t>INDEX_POSITION SIZING_NIFTY</t>
  </si>
  <si>
    <r>
      <rPr>
        <b/>
        <sz val="24"/>
        <rFont val="Aharoni"/>
        <charset val="177"/>
      </rPr>
      <t>NIFTY</t>
    </r>
    <r>
      <rPr>
        <b/>
        <sz val="12"/>
        <rFont val="Aharoni"/>
        <charset val="177"/>
      </rPr>
      <t>_SPOT LEVELS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</si>
</sst>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_ [$Rs.-4009]\ * #,##0.00_ ;_ [$Rs.-4009]\ * \-#,##0.00_ ;_ [$Rs.-4009]\ * &quot;-&quot;??_ ;_ @_ "/>
    <numFmt numFmtId="166" formatCode="0.0%"/>
    <numFmt numFmtId="167" formatCode="_-[$Rs.-849]\ * #,##0.00_-;\-[$Rs.-849]\ * #,##0.00_-;_-[$Rs.-849]\ * &quot;-&quot;??_-;_-@"/>
  </numFmts>
  <fonts count="33">
    <font>
      <sz val="10"/>
      <color rgb="FF000000"/>
      <name val="Arial"/>
      <scheme val="minor"/>
    </font>
    <font>
      <b/>
      <sz val="22"/>
      <color theme="0"/>
      <name val="Arial"/>
    </font>
    <font>
      <sz val="10"/>
      <name val="Arial"/>
    </font>
    <font>
      <b/>
      <sz val="24"/>
      <color rgb="FF000000"/>
      <name val="Arial"/>
    </font>
    <font>
      <b/>
      <sz val="12"/>
      <color rgb="FF000000"/>
      <name val="Aharoni"/>
    </font>
    <font>
      <b/>
      <sz val="16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45"/>
      <color rgb="FF000000"/>
      <name val="Arial"/>
    </font>
    <font>
      <sz val="11"/>
      <color rgb="FF000000"/>
      <name val="Adobe Gothic Std B"/>
    </font>
    <font>
      <sz val="10"/>
      <color rgb="FF000000"/>
      <name val="Arial"/>
    </font>
    <font>
      <b/>
      <sz val="36"/>
      <color rgb="FF000000"/>
      <name val="Arial"/>
    </font>
    <font>
      <b/>
      <sz val="14"/>
      <color theme="0"/>
      <name val="Arial"/>
    </font>
    <font>
      <b/>
      <sz val="12"/>
      <color rgb="FF000000"/>
      <name val="Arial"/>
    </font>
    <font>
      <b/>
      <sz val="14"/>
      <color rgb="FF000000"/>
      <name val="Arial"/>
    </font>
    <font>
      <b/>
      <sz val="26"/>
      <color rgb="FF000000"/>
      <name val="Arial"/>
    </font>
    <font>
      <b/>
      <sz val="20"/>
      <color rgb="FF000000"/>
      <name val="Arial"/>
    </font>
    <font>
      <b/>
      <sz val="10"/>
      <color rgb="FFFFFFFF"/>
      <name val="Arial"/>
    </font>
    <font>
      <b/>
      <sz val="24"/>
      <color rgb="FF000000"/>
      <name val="Aharoni"/>
    </font>
    <font>
      <b/>
      <sz val="24"/>
      <color rgb="FF002060"/>
      <name val="Arial"/>
    </font>
    <font>
      <b/>
      <sz val="24"/>
      <name val="Arial"/>
      <family val="2"/>
    </font>
    <font>
      <sz val="10"/>
      <name val="Arial"/>
      <family val="2"/>
    </font>
    <font>
      <b/>
      <sz val="12"/>
      <name val="Aharoni"/>
      <charset val="177"/>
    </font>
    <font>
      <b/>
      <sz val="24"/>
      <name val="Aharoni"/>
      <charset val="177"/>
    </font>
    <font>
      <b/>
      <sz val="16"/>
      <name val="Arial"/>
      <family val="2"/>
    </font>
    <font>
      <b/>
      <sz val="10"/>
      <name val="Arial"/>
      <family val="2"/>
    </font>
    <font>
      <b/>
      <sz val="45"/>
      <name val="Arial"/>
      <family val="2"/>
    </font>
    <font>
      <sz val="11"/>
      <name val="Adobe Gothic Std B"/>
    </font>
    <font>
      <b/>
      <sz val="3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434343"/>
        <bgColor rgb="FF43434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/>
      <right style="thin">
        <color rgb="FFFFFF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" fontId="9" fillId="3" borderId="17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vertical="center"/>
    </xf>
    <xf numFmtId="1" fontId="13" fillId="3" borderId="24" xfId="0" applyNumberFormat="1" applyFont="1" applyFill="1" applyBorder="1" applyAlignment="1">
      <alignment horizontal="center" vertical="center"/>
    </xf>
    <xf numFmtId="1" fontId="14" fillId="3" borderId="6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right" vertical="center"/>
    </xf>
    <xf numFmtId="0" fontId="16" fillId="3" borderId="26" xfId="0" applyFont="1" applyFill="1" applyBorder="1" applyAlignment="1">
      <alignment horizontal="center" vertical="center"/>
    </xf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/>
    <xf numFmtId="3" fontId="17" fillId="6" borderId="4" xfId="0" applyNumberFormat="1" applyFont="1" applyFill="1" applyBorder="1"/>
    <xf numFmtId="167" fontId="12" fillId="3" borderId="1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18" xfId="0" applyFont="1" applyBorder="1"/>
    <xf numFmtId="0" fontId="6" fillId="5" borderId="14" xfId="0" applyFont="1" applyFill="1" applyBorder="1" applyAlignment="1">
      <alignment horizontal="center" vertical="center" wrapText="1"/>
    </xf>
    <xf numFmtId="1" fontId="8" fillId="3" borderId="15" xfId="0" applyNumberFormat="1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9" xfId="0" applyFont="1" applyBorder="1"/>
    <xf numFmtId="0" fontId="2" fillId="0" borderId="20" xfId="0" applyFont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4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30" xfId="0" applyFont="1" applyBorder="1"/>
    <xf numFmtId="165" fontId="12" fillId="3" borderId="14" xfId="0" applyNumberFormat="1" applyFont="1" applyFill="1" applyBorder="1" applyAlignment="1">
      <alignment horizontal="center" vertical="center"/>
    </xf>
    <xf numFmtId="166" fontId="12" fillId="3" borderId="14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164" fontId="8" fillId="3" borderId="15" xfId="0" applyNumberFormat="1" applyFont="1" applyFill="1" applyBorder="1" applyAlignment="1">
      <alignment horizontal="center" vertical="center"/>
    </xf>
    <xf numFmtId="1" fontId="11" fillId="3" borderId="21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7" xfId="0" applyFont="1" applyBorder="1"/>
    <xf numFmtId="0" fontId="2" fillId="0" borderId="28" xfId="0" applyFont="1" applyBorder="1"/>
    <xf numFmtId="0" fontId="5" fillId="4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0" fillId="3" borderId="1" xfId="0" applyFont="1" applyFill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1" fillId="0" borderId="8" xfId="0" applyFont="1" applyBorder="1"/>
    <xf numFmtId="0" fontId="21" fillId="0" borderId="9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21" fillId="0" borderId="11" xfId="0" applyFont="1" applyBorder="1"/>
    <xf numFmtId="0" fontId="24" fillId="4" borderId="12" xfId="0" applyFont="1" applyFill="1" applyBorder="1" applyAlignment="1">
      <alignment horizontal="center" vertical="center" wrapText="1"/>
    </xf>
    <xf numFmtId="0" fontId="21" fillId="0" borderId="13" xfId="0" applyFont="1" applyBorder="1"/>
    <xf numFmtId="0" fontId="21" fillId="5" borderId="14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164" fontId="26" fillId="3" borderId="15" xfId="0" applyNumberFormat="1" applyFont="1" applyFill="1" applyBorder="1" applyAlignment="1">
      <alignment horizontal="center" vertical="center"/>
    </xf>
    <xf numFmtId="0" fontId="21" fillId="0" borderId="16" xfId="0" applyFont="1" applyBorder="1"/>
    <xf numFmtId="1" fontId="27" fillId="3" borderId="17" xfId="0" applyNumberFormat="1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1" fillId="0" borderId="18" xfId="0" applyFont="1" applyBorder="1"/>
    <xf numFmtId="0" fontId="21" fillId="3" borderId="6" xfId="0" applyFont="1" applyFill="1" applyBorder="1" applyAlignment="1">
      <alignment horizontal="center" vertical="center" wrapText="1"/>
    </xf>
    <xf numFmtId="2" fontId="21" fillId="3" borderId="6" xfId="0" applyNumberFormat="1" applyFont="1" applyFill="1" applyBorder="1" applyAlignment="1">
      <alignment horizontal="center" vertical="center" wrapText="1"/>
    </xf>
    <xf numFmtId="0" fontId="21" fillId="0" borderId="19" xfId="0" applyFont="1" applyBorder="1"/>
    <xf numFmtId="0" fontId="21" fillId="0" borderId="20" xfId="0" applyFont="1" applyBorder="1"/>
    <xf numFmtId="1" fontId="28" fillId="3" borderId="21" xfId="0" applyNumberFormat="1" applyFont="1" applyFill="1" applyBorder="1" applyAlignment="1">
      <alignment horizontal="center" vertical="center"/>
    </xf>
    <xf numFmtId="0" fontId="21" fillId="0" borderId="22" xfId="0" applyFont="1" applyBorder="1"/>
    <xf numFmtId="165" fontId="29" fillId="3" borderId="14" xfId="0" applyNumberFormat="1" applyFont="1" applyFill="1" applyBorder="1" applyAlignment="1">
      <alignment horizontal="center" vertical="center"/>
    </xf>
    <xf numFmtId="166" fontId="29" fillId="3" borderId="14" xfId="0" applyNumberFormat="1" applyFont="1" applyFill="1" applyBorder="1" applyAlignment="1">
      <alignment horizontal="center" vertical="center"/>
    </xf>
    <xf numFmtId="167" fontId="29" fillId="3" borderId="14" xfId="0" applyNumberFormat="1" applyFont="1" applyFill="1" applyBorder="1" applyAlignment="1">
      <alignment horizontal="center" vertical="center"/>
    </xf>
    <xf numFmtId="0" fontId="30" fillId="3" borderId="23" xfId="0" applyFont="1" applyFill="1" applyBorder="1" applyAlignment="1">
      <alignment vertical="center"/>
    </xf>
    <xf numFmtId="1" fontId="30" fillId="3" borderId="24" xfId="0" applyNumberFormat="1" applyFont="1" applyFill="1" applyBorder="1" applyAlignment="1">
      <alignment horizontal="center" vertical="center"/>
    </xf>
    <xf numFmtId="1" fontId="29" fillId="3" borderId="6" xfId="0" applyNumberFormat="1" applyFont="1" applyFill="1" applyBorder="1" applyAlignment="1">
      <alignment horizontal="center" vertical="center"/>
    </xf>
    <xf numFmtId="1" fontId="29" fillId="3" borderId="23" xfId="0" applyNumberFormat="1" applyFont="1" applyFill="1" applyBorder="1" applyAlignment="1">
      <alignment horizontal="center" vertical="center"/>
    </xf>
    <xf numFmtId="0" fontId="31" fillId="3" borderId="25" xfId="0" applyFont="1" applyFill="1" applyBorder="1" applyAlignment="1">
      <alignment horizontal="right" vertical="center"/>
    </xf>
    <xf numFmtId="0" fontId="32" fillId="3" borderId="26" xfId="0" applyFont="1" applyFill="1" applyBorder="1" applyAlignment="1">
      <alignment horizontal="center" vertical="center"/>
    </xf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1" fontId="26" fillId="3" borderId="15" xfId="0" applyNumberFormat="1" applyFont="1" applyFill="1" applyBorder="1" applyAlignment="1">
      <alignment horizontal="center" vertical="center"/>
    </xf>
    <xf numFmtId="0" fontId="21" fillId="0" borderId="30" xfId="0" applyFont="1" applyBorder="1"/>
  </cellXfs>
  <cellStyles count="1">
    <cellStyle name="Normal" xfId="0" builtinId="0"/>
  </cellStyles>
  <dxfs count="2">
    <dxf>
      <fill>
        <patternFill patternType="solid">
          <fgColor rgb="FFDD7E6B"/>
          <bgColor rgb="FFDD7E6B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9689209806397318"/>
          <c:y val="8.2967032967033005E-2"/>
          <c:w val="0.77246817129629619"/>
          <c:h val="0.83736263736263739"/>
        </c:manualLayout>
      </c:layout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WHY!$D$2:$D$11</c:f>
              <c:numCache>
                <c:formatCode>#,##0</c:formatCode>
                <c:ptCount val="10"/>
                <c:pt idx="0">
                  <c:v>150000</c:v>
                </c:pt>
                <c:pt idx="1">
                  <c:v>75000</c:v>
                </c:pt>
                <c:pt idx="2">
                  <c:v>37500</c:v>
                </c:pt>
                <c:pt idx="3">
                  <c:v>18750</c:v>
                </c:pt>
                <c:pt idx="4">
                  <c:v>28125</c:v>
                </c:pt>
                <c:pt idx="5">
                  <c:v>42187.5</c:v>
                </c:pt>
                <c:pt idx="6">
                  <c:v>21093.75</c:v>
                </c:pt>
                <c:pt idx="7">
                  <c:v>31640.625</c:v>
                </c:pt>
                <c:pt idx="8">
                  <c:v>47460.9375</c:v>
                </c:pt>
                <c:pt idx="9">
                  <c:v>71191.40625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2-4673-B0E5-F25458C7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796352"/>
        <c:axId val="551432928"/>
      </c:lineChart>
      <c:catAx>
        <c:axId val="45679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51432928"/>
        <c:crosses val="autoZero"/>
        <c:auto val="1"/>
        <c:lblAlgn val="ctr"/>
        <c:lblOffset val="100"/>
        <c:noMultiLvlLbl val="1"/>
      </c:catAx>
      <c:valAx>
        <c:axId val="551432928"/>
        <c:scaling>
          <c:orientation val="minMax"/>
          <c:min val="2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567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868316016710931"/>
          <c:y val="0.43895948649983108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WHY!$I$2:$I$11</c:f>
              <c:numCache>
                <c:formatCode>#,##0</c:formatCode>
                <c:ptCount val="10"/>
                <c:pt idx="0">
                  <c:v>105000</c:v>
                </c:pt>
                <c:pt idx="1">
                  <c:v>99750</c:v>
                </c:pt>
                <c:pt idx="2">
                  <c:v>94762.5</c:v>
                </c:pt>
                <c:pt idx="3">
                  <c:v>90024.375</c:v>
                </c:pt>
                <c:pt idx="4">
                  <c:v>94525.59375</c:v>
                </c:pt>
                <c:pt idx="5">
                  <c:v>99251.873437500006</c:v>
                </c:pt>
                <c:pt idx="6">
                  <c:v>94289.279765625004</c:v>
                </c:pt>
                <c:pt idx="7">
                  <c:v>99003.743753906252</c:v>
                </c:pt>
                <c:pt idx="8">
                  <c:v>103953.93094160157</c:v>
                </c:pt>
                <c:pt idx="9">
                  <c:v>109151.62748868165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4-44A2-B2B1-AB715F2B0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77120"/>
        <c:axId val="305167071"/>
      </c:lineChart>
      <c:catAx>
        <c:axId val="18247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05167071"/>
        <c:crosses val="autoZero"/>
        <c:auto val="1"/>
        <c:lblAlgn val="ctr"/>
        <c:lblOffset val="100"/>
        <c:noMultiLvlLbl val="1"/>
      </c:catAx>
      <c:valAx>
        <c:axId val="305167071"/>
        <c:scaling>
          <c:orientation val="minMax"/>
          <c:min val="7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24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477992606945076"/>
          <c:y val="0.43895948649983108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12</xdr:row>
      <xdr:rowOff>0</xdr:rowOff>
    </xdr:from>
    <xdr:ext cx="3505200" cy="1952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167640</xdr:colOff>
      <xdr:row>12</xdr:row>
      <xdr:rowOff>19050</xdr:rowOff>
    </xdr:from>
    <xdr:ext cx="3905250" cy="19526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23" sqref="C23"/>
    </sheetView>
  </sheetViews>
  <sheetFormatPr defaultColWidth="12.6640625" defaultRowHeight="15" customHeight="1"/>
  <cols>
    <col min="1" max="1" width="5.88671875" customWidth="1"/>
    <col min="2" max="2" width="23" customWidth="1"/>
    <col min="3" max="3" width="16.21875" customWidth="1"/>
    <col min="4" max="4" width="19.109375" customWidth="1"/>
    <col min="5" max="5" width="15.77734375" customWidth="1"/>
    <col min="6" max="6" width="13" customWidth="1"/>
    <col min="7" max="7" width="13.44140625" customWidth="1"/>
    <col min="8" max="8" width="13.77734375" customWidth="1"/>
    <col min="9" max="9" width="17.44140625" customWidth="1"/>
    <col min="10" max="10" width="7.33203125" customWidth="1"/>
    <col min="11" max="11" width="11.6640625" customWidth="1"/>
    <col min="12" max="12" width="12.21875" customWidth="1"/>
    <col min="13" max="26" width="8.6640625" customWidth="1"/>
  </cols>
  <sheetData>
    <row r="1" spans="1:12" ht="12.75" customHeight="1"/>
    <row r="2" spans="1:12" ht="27.6" customHeight="1">
      <c r="A2" s="45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</row>
    <row r="3" spans="1:12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2.2" customHeight="1">
      <c r="A5" s="48" t="s">
        <v>24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50"/>
    </row>
    <row r="6" spans="1:12" ht="56.25" customHeight="1">
      <c r="A6" s="51"/>
      <c r="B6" s="52" t="s">
        <v>1</v>
      </c>
      <c r="C6" s="52" t="s">
        <v>2</v>
      </c>
      <c r="D6" s="52" t="s">
        <v>3</v>
      </c>
      <c r="E6" s="53" t="s">
        <v>25</v>
      </c>
      <c r="F6" s="54"/>
      <c r="G6" s="54"/>
      <c r="H6" s="55"/>
      <c r="I6" s="56" t="s">
        <v>4</v>
      </c>
      <c r="J6" s="57"/>
      <c r="K6" s="58" t="s">
        <v>5</v>
      </c>
      <c r="L6" s="50"/>
    </row>
    <row r="7" spans="1:12" ht="19.5" customHeight="1">
      <c r="A7" s="59"/>
      <c r="B7" s="60" t="s">
        <v>6</v>
      </c>
      <c r="C7" s="60" t="s">
        <v>7</v>
      </c>
      <c r="D7" s="60" t="s">
        <v>8</v>
      </c>
      <c r="E7" s="61" t="s">
        <v>9</v>
      </c>
      <c r="F7" s="61" t="s">
        <v>10</v>
      </c>
      <c r="G7" s="61" t="s">
        <v>11</v>
      </c>
      <c r="H7" s="61" t="s">
        <v>12</v>
      </c>
      <c r="I7" s="62">
        <f>D9/G9</f>
        <v>9.615384615384615</v>
      </c>
      <c r="J7" s="63"/>
      <c r="K7" s="64" t="s">
        <v>13</v>
      </c>
      <c r="L7" s="65">
        <v>65</v>
      </c>
    </row>
    <row r="8" spans="1:12" ht="25.5" customHeight="1">
      <c r="A8" s="59"/>
      <c r="B8" s="66"/>
      <c r="C8" s="66"/>
      <c r="D8" s="66"/>
      <c r="E8" s="67">
        <v>23974</v>
      </c>
      <c r="F8" s="67">
        <v>23958</v>
      </c>
      <c r="G8" s="68">
        <f>F8</f>
        <v>23958</v>
      </c>
      <c r="H8" s="68">
        <f>E8</f>
        <v>23974</v>
      </c>
      <c r="I8" s="69"/>
      <c r="J8" s="70"/>
      <c r="K8" s="71">
        <f>(L7*I7)*65</f>
        <v>40625</v>
      </c>
      <c r="L8" s="72"/>
    </row>
    <row r="9" spans="1:12" ht="30" customHeight="1">
      <c r="A9" s="59"/>
      <c r="B9" s="73">
        <v>100000</v>
      </c>
      <c r="C9" s="74">
        <v>0.05</v>
      </c>
      <c r="D9" s="75">
        <f>C9*B9</f>
        <v>5000</v>
      </c>
      <c r="E9" s="76" t="s">
        <v>14</v>
      </c>
      <c r="F9" s="77">
        <f>(-(G8-H8)*50%)</f>
        <v>8</v>
      </c>
      <c r="G9" s="78">
        <f>F9*65</f>
        <v>520</v>
      </c>
      <c r="H9" s="79">
        <f>G9+200</f>
        <v>720</v>
      </c>
      <c r="I9" s="80">
        <f>MROUND(G8,50)</f>
        <v>23950</v>
      </c>
      <c r="J9" s="81" t="s">
        <v>15</v>
      </c>
      <c r="K9" s="82"/>
      <c r="L9" s="83"/>
    </row>
    <row r="10" spans="1:12" ht="14.25" customHeight="1">
      <c r="A10" s="59"/>
      <c r="B10" s="84"/>
      <c r="C10" s="84"/>
      <c r="D10" s="84"/>
      <c r="E10" s="61" t="s">
        <v>9</v>
      </c>
      <c r="F10" s="61" t="s">
        <v>10</v>
      </c>
      <c r="G10" s="61" t="s">
        <v>16</v>
      </c>
      <c r="H10" s="61" t="s">
        <v>12</v>
      </c>
      <c r="I10" s="85">
        <f>D9/G12</f>
        <v>4.8076923076923075</v>
      </c>
      <c r="J10" s="63"/>
      <c r="K10" s="64" t="s">
        <v>13</v>
      </c>
      <c r="L10" s="65">
        <v>45</v>
      </c>
    </row>
    <row r="11" spans="1:12" ht="22.5" customHeight="1">
      <c r="A11" s="59"/>
      <c r="B11" s="84"/>
      <c r="C11" s="84"/>
      <c r="D11" s="84"/>
      <c r="E11" s="67">
        <v>23891</v>
      </c>
      <c r="F11" s="67">
        <v>23859</v>
      </c>
      <c r="G11" s="68">
        <f t="shared" ref="G11:H11" si="0">E11</f>
        <v>23891</v>
      </c>
      <c r="H11" s="68">
        <f t="shared" si="0"/>
        <v>23859</v>
      </c>
      <c r="I11" s="69"/>
      <c r="J11" s="70"/>
      <c r="K11" s="71">
        <f>(L10*I10)*65</f>
        <v>14062.5</v>
      </c>
      <c r="L11" s="72"/>
    </row>
    <row r="12" spans="1:12" ht="35.25" customHeight="1">
      <c r="A12" s="86"/>
      <c r="B12" s="66"/>
      <c r="C12" s="66"/>
      <c r="D12" s="66"/>
      <c r="E12" s="76" t="s">
        <v>14</v>
      </c>
      <c r="F12" s="77">
        <f>(G11-H11)*50%</f>
        <v>16</v>
      </c>
      <c r="G12" s="78">
        <f>F12*65</f>
        <v>1040</v>
      </c>
      <c r="H12" s="79">
        <f>G12+200</f>
        <v>1240</v>
      </c>
      <c r="I12" s="80">
        <f>MROUND(G11,50)</f>
        <v>23900</v>
      </c>
      <c r="J12" s="81" t="s">
        <v>17</v>
      </c>
      <c r="K12" s="82"/>
      <c r="L12" s="83"/>
    </row>
    <row r="13" spans="1:12" ht="12.75" customHeight="1"/>
    <row r="14" spans="1:12" ht="21.6" customHeight="1">
      <c r="A14" s="26" t="s">
        <v>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56.25" customHeight="1">
      <c r="A15" s="32"/>
      <c r="B15" s="2" t="s">
        <v>1</v>
      </c>
      <c r="C15" s="2" t="s">
        <v>2</v>
      </c>
      <c r="D15" s="2" t="s">
        <v>3</v>
      </c>
      <c r="E15" s="29" t="s">
        <v>19</v>
      </c>
      <c r="F15" s="30"/>
      <c r="G15" s="30"/>
      <c r="H15" s="31"/>
      <c r="I15" s="37" t="s">
        <v>4</v>
      </c>
      <c r="J15" s="38"/>
      <c r="K15" s="44" t="s">
        <v>5</v>
      </c>
      <c r="L15" s="28"/>
    </row>
    <row r="16" spans="1:12" ht="19.5" customHeight="1">
      <c r="A16" s="33"/>
      <c r="B16" s="21" t="s">
        <v>6</v>
      </c>
      <c r="C16" s="21" t="s">
        <v>7</v>
      </c>
      <c r="D16" s="21" t="s">
        <v>8</v>
      </c>
      <c r="E16" s="3" t="s">
        <v>9</v>
      </c>
      <c r="F16" s="3" t="s">
        <v>10</v>
      </c>
      <c r="G16" s="3" t="s">
        <v>11</v>
      </c>
      <c r="H16" s="3" t="s">
        <v>12</v>
      </c>
      <c r="I16" s="39">
        <f>D18/G18</f>
        <v>5.376344086021505</v>
      </c>
      <c r="J16" s="23"/>
      <c r="K16" s="4" t="s">
        <v>13</v>
      </c>
      <c r="L16" s="5">
        <v>100</v>
      </c>
    </row>
    <row r="17" spans="1:12" ht="25.5" customHeight="1">
      <c r="A17" s="33"/>
      <c r="B17" s="20"/>
      <c r="C17" s="20"/>
      <c r="D17" s="20"/>
      <c r="E17" s="6">
        <v>53421</v>
      </c>
      <c r="F17" s="6">
        <v>53359</v>
      </c>
      <c r="G17" s="7">
        <f>F17</f>
        <v>53359</v>
      </c>
      <c r="H17" s="7">
        <f>E17</f>
        <v>53421</v>
      </c>
      <c r="I17" s="24"/>
      <c r="J17" s="25"/>
      <c r="K17" s="40">
        <f>(L16*I16)*15</f>
        <v>8064.5161290322576</v>
      </c>
      <c r="L17" s="41"/>
    </row>
    <row r="18" spans="1:12" ht="34.5" customHeight="1">
      <c r="A18" s="33"/>
      <c r="B18" s="35">
        <v>100000</v>
      </c>
      <c r="C18" s="36">
        <v>0.05</v>
      </c>
      <c r="D18" s="18">
        <f>B18*C18</f>
        <v>5000</v>
      </c>
      <c r="E18" s="8" t="s">
        <v>14</v>
      </c>
      <c r="F18" s="9">
        <f>(-(G17-H17)*50%)</f>
        <v>31</v>
      </c>
      <c r="G18" s="10">
        <f>F18*30</f>
        <v>930</v>
      </c>
      <c r="H18" s="11">
        <f>G18+200</f>
        <v>1130</v>
      </c>
      <c r="I18" s="12">
        <f>MROUND(G17,100)</f>
        <v>53400</v>
      </c>
      <c r="J18" s="13" t="s">
        <v>15</v>
      </c>
      <c r="K18" s="42"/>
      <c r="L18" s="43"/>
    </row>
    <row r="19" spans="1:12" ht="14.25" customHeight="1">
      <c r="A19" s="33"/>
      <c r="B19" s="19"/>
      <c r="C19" s="19"/>
      <c r="D19" s="19"/>
      <c r="E19" s="3" t="s">
        <v>9</v>
      </c>
      <c r="F19" s="3" t="s">
        <v>10</v>
      </c>
      <c r="G19" s="3" t="s">
        <v>16</v>
      </c>
      <c r="H19" s="3" t="s">
        <v>12</v>
      </c>
      <c r="I19" s="22">
        <f>D18/G21</f>
        <v>3.3670033670033672</v>
      </c>
      <c r="J19" s="23"/>
      <c r="K19" s="4" t="s">
        <v>13</v>
      </c>
      <c r="L19" s="5">
        <v>100</v>
      </c>
    </row>
    <row r="20" spans="1:12" ht="22.5" customHeight="1">
      <c r="A20" s="33"/>
      <c r="B20" s="19"/>
      <c r="C20" s="19"/>
      <c r="D20" s="19"/>
      <c r="E20" s="6">
        <v>52524</v>
      </c>
      <c r="F20" s="6">
        <v>52425</v>
      </c>
      <c r="G20" s="7">
        <f t="shared" ref="G20:H20" si="1">E20</f>
        <v>52524</v>
      </c>
      <c r="H20" s="7">
        <f t="shared" si="1"/>
        <v>52425</v>
      </c>
      <c r="I20" s="24"/>
      <c r="J20" s="25"/>
      <c r="K20" s="40">
        <f>(L19*I19)*15</f>
        <v>5050.5050505050513</v>
      </c>
      <c r="L20" s="41"/>
    </row>
    <row r="21" spans="1:12" ht="39.75" customHeight="1">
      <c r="A21" s="34"/>
      <c r="B21" s="20"/>
      <c r="C21" s="20"/>
      <c r="D21" s="20"/>
      <c r="E21" s="8" t="s">
        <v>14</v>
      </c>
      <c r="F21" s="9">
        <f>(G20-H20)*50%</f>
        <v>49.5</v>
      </c>
      <c r="G21" s="10">
        <f>F21*30</f>
        <v>1485</v>
      </c>
      <c r="H21" s="11">
        <f>G21+200</f>
        <v>1685</v>
      </c>
      <c r="I21" s="12">
        <f>MROUND(G20,100)</f>
        <v>52500</v>
      </c>
      <c r="J21" s="13" t="s">
        <v>17</v>
      </c>
      <c r="K21" s="42"/>
      <c r="L21" s="43"/>
    </row>
    <row r="22" spans="1:12" ht="12.75" customHeight="1"/>
    <row r="23" spans="1:12" ht="12.75" customHeight="1"/>
    <row r="24" spans="1:12" ht="12.75" customHeight="1"/>
    <row r="25" spans="1:12" ht="22.2" customHeight="1">
      <c r="A25" s="26" t="s">
        <v>20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56.25" customHeight="1">
      <c r="A26" s="32"/>
      <c r="B26" s="2" t="s">
        <v>1</v>
      </c>
      <c r="C26" s="2" t="s">
        <v>2</v>
      </c>
      <c r="D26" s="2" t="s">
        <v>3</v>
      </c>
      <c r="E26" s="29" t="s">
        <v>21</v>
      </c>
      <c r="F26" s="30"/>
      <c r="G26" s="30"/>
      <c r="H26" s="31"/>
      <c r="I26" s="37" t="s">
        <v>4</v>
      </c>
      <c r="J26" s="38"/>
      <c r="K26" s="44" t="s">
        <v>5</v>
      </c>
      <c r="L26" s="28"/>
    </row>
    <row r="27" spans="1:12" ht="19.5" customHeight="1">
      <c r="A27" s="33"/>
      <c r="B27" s="21" t="s">
        <v>6</v>
      </c>
      <c r="C27" s="21" t="s">
        <v>7</v>
      </c>
      <c r="D27" s="21" t="s">
        <v>8</v>
      </c>
      <c r="E27" s="3" t="s">
        <v>9</v>
      </c>
      <c r="F27" s="3" t="s">
        <v>10</v>
      </c>
      <c r="G27" s="3" t="s">
        <v>11</v>
      </c>
      <c r="H27" s="3" t="s">
        <v>12</v>
      </c>
      <c r="I27" s="39">
        <f>D29/G29</f>
        <v>8.064516129032258</v>
      </c>
      <c r="J27" s="23"/>
      <c r="K27" s="4" t="s">
        <v>13</v>
      </c>
      <c r="L27" s="5">
        <v>100</v>
      </c>
    </row>
    <row r="28" spans="1:12" ht="25.5" customHeight="1">
      <c r="A28" s="33"/>
      <c r="B28" s="20"/>
      <c r="C28" s="20"/>
      <c r="D28" s="20"/>
      <c r="E28" s="6">
        <v>53421</v>
      </c>
      <c r="F28" s="6">
        <v>53359</v>
      </c>
      <c r="G28" s="7">
        <f>F28</f>
        <v>53359</v>
      </c>
      <c r="H28" s="7">
        <f>E28</f>
        <v>53421</v>
      </c>
      <c r="I28" s="24"/>
      <c r="J28" s="25"/>
      <c r="K28" s="40">
        <f>(L27*I27)*15</f>
        <v>12096.774193548388</v>
      </c>
      <c r="L28" s="41"/>
    </row>
    <row r="29" spans="1:12" ht="34.5" customHeight="1">
      <c r="A29" s="33"/>
      <c r="B29" s="35">
        <v>100000</v>
      </c>
      <c r="C29" s="36">
        <v>0.05</v>
      </c>
      <c r="D29" s="18">
        <f>C29*B29</f>
        <v>5000</v>
      </c>
      <c r="E29" s="8" t="s">
        <v>14</v>
      </c>
      <c r="F29" s="9">
        <f>(-(G28-H28)*50%)</f>
        <v>31</v>
      </c>
      <c r="G29" s="10">
        <f>F29*20</f>
        <v>620</v>
      </c>
      <c r="H29" s="11">
        <f>G29+200</f>
        <v>820</v>
      </c>
      <c r="I29" s="12">
        <f>MROUND(G28,100)</f>
        <v>53400</v>
      </c>
      <c r="J29" s="13" t="s">
        <v>15</v>
      </c>
      <c r="K29" s="42"/>
      <c r="L29" s="43"/>
    </row>
    <row r="30" spans="1:12" ht="14.25" customHeight="1">
      <c r="A30" s="33"/>
      <c r="B30" s="19"/>
      <c r="C30" s="19"/>
      <c r="D30" s="19"/>
      <c r="E30" s="3" t="s">
        <v>9</v>
      </c>
      <c r="F30" s="3" t="s">
        <v>10</v>
      </c>
      <c r="G30" s="3" t="s">
        <v>16</v>
      </c>
      <c r="H30" s="3" t="s">
        <v>12</v>
      </c>
      <c r="I30" s="22">
        <f>D29/G32</f>
        <v>3.8461538461538463</v>
      </c>
      <c r="J30" s="23"/>
      <c r="K30" s="4" t="s">
        <v>13</v>
      </c>
      <c r="L30" s="5">
        <v>100</v>
      </c>
    </row>
    <row r="31" spans="1:12" ht="22.5" customHeight="1">
      <c r="A31" s="33"/>
      <c r="B31" s="19"/>
      <c r="C31" s="19"/>
      <c r="D31" s="19"/>
      <c r="E31" s="6">
        <v>80130</v>
      </c>
      <c r="F31" s="6">
        <v>80000</v>
      </c>
      <c r="G31" s="7">
        <f t="shared" ref="G31:H31" si="2">E31</f>
        <v>80130</v>
      </c>
      <c r="H31" s="7">
        <f t="shared" si="2"/>
        <v>80000</v>
      </c>
      <c r="I31" s="24"/>
      <c r="J31" s="25"/>
      <c r="K31" s="40">
        <f>(L30*I30)*15</f>
        <v>5769.2307692307695</v>
      </c>
      <c r="L31" s="41"/>
    </row>
    <row r="32" spans="1:12" ht="39.75" customHeight="1">
      <c r="A32" s="34"/>
      <c r="B32" s="20"/>
      <c r="C32" s="20"/>
      <c r="D32" s="20"/>
      <c r="E32" s="8" t="s">
        <v>14</v>
      </c>
      <c r="F32" s="9">
        <f>(G31-H31)*50%</f>
        <v>65</v>
      </c>
      <c r="G32" s="10">
        <f>F32*20</f>
        <v>1300</v>
      </c>
      <c r="H32" s="11">
        <f>G32+200</f>
        <v>1500</v>
      </c>
      <c r="I32" s="12">
        <f>MROUND(G31,100)</f>
        <v>80100</v>
      </c>
      <c r="J32" s="13" t="s">
        <v>17</v>
      </c>
      <c r="K32" s="42"/>
      <c r="L32" s="43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K11:L12"/>
    <mergeCell ref="A2:L2"/>
    <mergeCell ref="A5:L5"/>
    <mergeCell ref="A6:A12"/>
    <mergeCell ref="E6:H6"/>
    <mergeCell ref="I6:J6"/>
    <mergeCell ref="B7:B8"/>
    <mergeCell ref="D9:D12"/>
    <mergeCell ref="C7:C8"/>
    <mergeCell ref="D7:D8"/>
    <mergeCell ref="K6:L6"/>
    <mergeCell ref="K8:L9"/>
    <mergeCell ref="I7:J8"/>
    <mergeCell ref="I10:J11"/>
    <mergeCell ref="B9:B12"/>
    <mergeCell ref="C9:C12"/>
    <mergeCell ref="K20:L21"/>
    <mergeCell ref="K15:L15"/>
    <mergeCell ref="K17:L18"/>
    <mergeCell ref="K31:L32"/>
    <mergeCell ref="K26:L26"/>
    <mergeCell ref="K28:L29"/>
    <mergeCell ref="C18:C21"/>
    <mergeCell ref="A26:A32"/>
    <mergeCell ref="B27:B28"/>
    <mergeCell ref="I15:J15"/>
    <mergeCell ref="I16:J17"/>
    <mergeCell ref="I19:J20"/>
    <mergeCell ref="I26:J26"/>
    <mergeCell ref="I27:J28"/>
    <mergeCell ref="D29:D32"/>
    <mergeCell ref="C27:C28"/>
    <mergeCell ref="D27:D28"/>
    <mergeCell ref="I30:J31"/>
    <mergeCell ref="A14:L14"/>
    <mergeCell ref="E15:H15"/>
    <mergeCell ref="A25:L25"/>
    <mergeCell ref="E26:H26"/>
    <mergeCell ref="A15:A21"/>
    <mergeCell ref="B16:B17"/>
    <mergeCell ref="D18:D21"/>
    <mergeCell ref="C16:C17"/>
    <mergeCell ref="D16:D17"/>
    <mergeCell ref="B29:B32"/>
    <mergeCell ref="C29:C32"/>
    <mergeCell ref="B18:B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L28" sqref="L28"/>
    </sheetView>
  </sheetViews>
  <sheetFormatPr defaultColWidth="12.6640625" defaultRowHeight="15" customHeight="1"/>
  <cols>
    <col min="1" max="3" width="10.77734375" customWidth="1"/>
    <col min="4" max="4" width="12.44140625" customWidth="1"/>
    <col min="5" max="5" width="2.21875" customWidth="1"/>
    <col min="6" max="9" width="11.21875" customWidth="1"/>
    <col min="10" max="26" width="14.44140625" customWidth="1"/>
  </cols>
  <sheetData>
    <row r="1" spans="1:9" ht="15.75" customHeight="1">
      <c r="A1" s="46" t="s">
        <v>22</v>
      </c>
      <c r="B1" s="47"/>
      <c r="C1" s="47"/>
      <c r="D1" s="47"/>
      <c r="F1" s="46" t="s">
        <v>23</v>
      </c>
      <c r="G1" s="47"/>
      <c r="H1" s="47"/>
      <c r="I1" s="47"/>
    </row>
    <row r="2" spans="1:9" ht="15.75" customHeight="1">
      <c r="A2" s="14">
        <v>100000</v>
      </c>
      <c r="B2" s="15">
        <v>0.5</v>
      </c>
      <c r="C2" s="15">
        <f t="shared" ref="C2:C11" si="0">1+B2</f>
        <v>1.5</v>
      </c>
      <c r="D2" s="16">
        <f t="shared" ref="D2:D11" si="1">A2*C2</f>
        <v>150000</v>
      </c>
      <c r="F2" s="14">
        <v>100000</v>
      </c>
      <c r="G2" s="15">
        <v>0.05</v>
      </c>
      <c r="H2" s="15">
        <f t="shared" ref="H2:H11" si="2">1+G2</f>
        <v>1.05</v>
      </c>
      <c r="I2" s="16">
        <f t="shared" ref="I2:I11" si="3">F2*H2</f>
        <v>105000</v>
      </c>
    </row>
    <row r="3" spans="1:9" ht="15.75" customHeight="1">
      <c r="A3" s="16">
        <f t="shared" ref="A3:A11" si="4">D2</f>
        <v>150000</v>
      </c>
      <c r="B3" s="15">
        <v>-0.5</v>
      </c>
      <c r="C3" s="15">
        <f t="shared" si="0"/>
        <v>0.5</v>
      </c>
      <c r="D3" s="16">
        <f t="shared" si="1"/>
        <v>75000</v>
      </c>
      <c r="F3" s="16">
        <f t="shared" ref="F3:F11" si="5">I2</f>
        <v>105000</v>
      </c>
      <c r="G3" s="15">
        <v>-0.05</v>
      </c>
      <c r="H3" s="15">
        <f t="shared" si="2"/>
        <v>0.95</v>
      </c>
      <c r="I3" s="16">
        <f t="shared" si="3"/>
        <v>99750</v>
      </c>
    </row>
    <row r="4" spans="1:9" ht="15.75" customHeight="1">
      <c r="A4" s="16">
        <f t="shared" si="4"/>
        <v>75000</v>
      </c>
      <c r="B4" s="15">
        <v>-0.5</v>
      </c>
      <c r="C4" s="15">
        <f t="shared" si="0"/>
        <v>0.5</v>
      </c>
      <c r="D4" s="16">
        <f t="shared" si="1"/>
        <v>37500</v>
      </c>
      <c r="F4" s="16">
        <f t="shared" si="5"/>
        <v>99750</v>
      </c>
      <c r="G4" s="15">
        <v>-0.05</v>
      </c>
      <c r="H4" s="15">
        <f t="shared" si="2"/>
        <v>0.95</v>
      </c>
      <c r="I4" s="16">
        <f t="shared" si="3"/>
        <v>94762.5</v>
      </c>
    </row>
    <row r="5" spans="1:9" ht="15.75" customHeight="1">
      <c r="A5" s="16">
        <f t="shared" si="4"/>
        <v>37500</v>
      </c>
      <c r="B5" s="15">
        <v>-0.5</v>
      </c>
      <c r="C5" s="15">
        <f t="shared" si="0"/>
        <v>0.5</v>
      </c>
      <c r="D5" s="16">
        <f t="shared" si="1"/>
        <v>18750</v>
      </c>
      <c r="F5" s="16">
        <f t="shared" si="5"/>
        <v>94762.5</v>
      </c>
      <c r="G5" s="15">
        <v>-0.05</v>
      </c>
      <c r="H5" s="15">
        <f t="shared" si="2"/>
        <v>0.95</v>
      </c>
      <c r="I5" s="16">
        <f t="shared" si="3"/>
        <v>90024.375</v>
      </c>
    </row>
    <row r="6" spans="1:9" ht="15.75" customHeight="1">
      <c r="A6" s="16">
        <f t="shared" si="4"/>
        <v>18750</v>
      </c>
      <c r="B6" s="15">
        <v>0.5</v>
      </c>
      <c r="C6" s="15">
        <f t="shared" si="0"/>
        <v>1.5</v>
      </c>
      <c r="D6" s="16">
        <f t="shared" si="1"/>
        <v>28125</v>
      </c>
      <c r="F6" s="16">
        <f t="shared" si="5"/>
        <v>90024.375</v>
      </c>
      <c r="G6" s="15">
        <v>0.05</v>
      </c>
      <c r="H6" s="15">
        <f t="shared" si="2"/>
        <v>1.05</v>
      </c>
      <c r="I6" s="16">
        <f t="shared" si="3"/>
        <v>94525.59375</v>
      </c>
    </row>
    <row r="7" spans="1:9" ht="15.75" customHeight="1">
      <c r="A7" s="16">
        <f t="shared" si="4"/>
        <v>28125</v>
      </c>
      <c r="B7" s="15">
        <v>0.5</v>
      </c>
      <c r="C7" s="15">
        <f t="shared" si="0"/>
        <v>1.5</v>
      </c>
      <c r="D7" s="16">
        <f t="shared" si="1"/>
        <v>42187.5</v>
      </c>
      <c r="F7" s="16">
        <f t="shared" si="5"/>
        <v>94525.59375</v>
      </c>
      <c r="G7" s="15">
        <v>0.05</v>
      </c>
      <c r="H7" s="15">
        <f t="shared" si="2"/>
        <v>1.05</v>
      </c>
      <c r="I7" s="16">
        <f t="shared" si="3"/>
        <v>99251.873437500006</v>
      </c>
    </row>
    <row r="8" spans="1:9" ht="15.75" customHeight="1">
      <c r="A8" s="16">
        <f t="shared" si="4"/>
        <v>42187.5</v>
      </c>
      <c r="B8" s="15">
        <v>-0.5</v>
      </c>
      <c r="C8" s="15">
        <f t="shared" si="0"/>
        <v>0.5</v>
      </c>
      <c r="D8" s="16">
        <f t="shared" si="1"/>
        <v>21093.75</v>
      </c>
      <c r="F8" s="16">
        <f t="shared" si="5"/>
        <v>99251.873437500006</v>
      </c>
      <c r="G8" s="15">
        <v>-0.05</v>
      </c>
      <c r="H8" s="15">
        <f t="shared" si="2"/>
        <v>0.95</v>
      </c>
      <c r="I8" s="16">
        <f t="shared" si="3"/>
        <v>94289.279765625004</v>
      </c>
    </row>
    <row r="9" spans="1:9" ht="15.75" customHeight="1">
      <c r="A9" s="16">
        <f t="shared" si="4"/>
        <v>21093.75</v>
      </c>
      <c r="B9" s="15">
        <v>0.5</v>
      </c>
      <c r="C9" s="15">
        <f t="shared" si="0"/>
        <v>1.5</v>
      </c>
      <c r="D9" s="16">
        <f t="shared" si="1"/>
        <v>31640.625</v>
      </c>
      <c r="F9" s="16">
        <f t="shared" si="5"/>
        <v>94289.279765625004</v>
      </c>
      <c r="G9" s="15">
        <v>0.05</v>
      </c>
      <c r="H9" s="15">
        <f t="shared" si="2"/>
        <v>1.05</v>
      </c>
      <c r="I9" s="16">
        <f t="shared" si="3"/>
        <v>99003.743753906252</v>
      </c>
    </row>
    <row r="10" spans="1:9" ht="15.75" customHeight="1">
      <c r="A10" s="16">
        <f t="shared" si="4"/>
        <v>31640.625</v>
      </c>
      <c r="B10" s="15">
        <v>0.5</v>
      </c>
      <c r="C10" s="15">
        <f t="shared" si="0"/>
        <v>1.5</v>
      </c>
      <c r="D10" s="16">
        <f t="shared" si="1"/>
        <v>47460.9375</v>
      </c>
      <c r="F10" s="16">
        <f t="shared" si="5"/>
        <v>99003.743753906252</v>
      </c>
      <c r="G10" s="15">
        <v>0.05</v>
      </c>
      <c r="H10" s="15">
        <f t="shared" si="2"/>
        <v>1.05</v>
      </c>
      <c r="I10" s="16">
        <f t="shared" si="3"/>
        <v>103953.93094160157</v>
      </c>
    </row>
    <row r="11" spans="1:9" ht="15.75" customHeight="1">
      <c r="A11" s="16">
        <f t="shared" si="4"/>
        <v>47460.9375</v>
      </c>
      <c r="B11" s="15">
        <v>0.5</v>
      </c>
      <c r="C11" s="15">
        <f t="shared" si="0"/>
        <v>1.5</v>
      </c>
      <c r="D11" s="17">
        <f t="shared" si="1"/>
        <v>71191.40625</v>
      </c>
      <c r="F11" s="16">
        <f t="shared" si="5"/>
        <v>103953.93094160157</v>
      </c>
      <c r="G11" s="15">
        <v>0.05</v>
      </c>
      <c r="H11" s="15">
        <f t="shared" si="2"/>
        <v>1.05</v>
      </c>
      <c r="I11" s="17">
        <f t="shared" si="3"/>
        <v>109151.62748868165</v>
      </c>
    </row>
    <row r="12" spans="1:9" ht="15.75" customHeight="1">
      <c r="B12" s="15"/>
      <c r="C12" s="15"/>
    </row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1:I1"/>
  </mergeCells>
  <conditionalFormatting sqref="B2:B11 G2:G1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MANAGEMENT CALCULATOR</vt:lpstr>
      <vt:lpstr>WHY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Kumar</cp:lastModifiedBy>
  <dcterms:modified xsi:type="dcterms:W3CDTF">2026-08-03T20:22:30Z</dcterms:modified>
</cp:coreProperties>
</file>